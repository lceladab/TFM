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/Desktop/entregar_TFM/Results/"/>
    </mc:Choice>
  </mc:AlternateContent>
  <xr:revisionPtr revIDLastSave="0" documentId="13_ncr:1_{98EF8167-850D-9E42-B6E5-7FA781175D80}" xr6:coauthVersionLast="47" xr6:coauthVersionMax="47" xr10:uidLastSave="{00000000-0000-0000-0000-000000000000}"/>
  <bookViews>
    <workbookView xWindow="9240" yWindow="660" windowWidth="25320" windowHeight="20400" xr2:uid="{AEA5BA53-CA40-9940-B363-C04B331049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E5" i="1"/>
  <c r="F5" i="1" s="1"/>
  <c r="E6" i="1"/>
  <c r="E7" i="1"/>
  <c r="F7" i="1" s="1"/>
  <c r="E8" i="1"/>
  <c r="E9" i="1"/>
  <c r="E10" i="1"/>
  <c r="F10" i="1" s="1"/>
  <c r="E11" i="1"/>
  <c r="F11" i="1" s="1"/>
  <c r="E12" i="1"/>
  <c r="F12" i="1" s="1"/>
  <c r="E13" i="1"/>
  <c r="E14" i="1"/>
  <c r="E15" i="1"/>
  <c r="E16" i="1"/>
  <c r="F16" i="1" s="1"/>
  <c r="E17" i="1"/>
  <c r="E18" i="1"/>
  <c r="E19" i="1"/>
  <c r="F19" i="1" s="1"/>
  <c r="E20" i="1"/>
  <c r="E21" i="1"/>
  <c r="E22" i="1"/>
  <c r="E23" i="1"/>
  <c r="E24" i="1"/>
  <c r="F24" i="1" s="1"/>
  <c r="E25" i="1"/>
  <c r="F25" i="1" s="1"/>
  <c r="E26" i="1"/>
  <c r="F26" i="1" s="1"/>
  <c r="E27" i="1"/>
  <c r="E2" i="1"/>
  <c r="F30" i="1" s="1"/>
  <c r="D2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" i="1"/>
  <c r="F17" i="1"/>
  <c r="F18" i="1"/>
  <c r="F2" i="1" l="1"/>
  <c r="E30" i="1"/>
  <c r="F6" i="1"/>
  <c r="F21" i="1"/>
  <c r="F23" i="1"/>
  <c r="F22" i="1"/>
  <c r="F20" i="1"/>
  <c r="F9" i="1"/>
  <c r="F4" i="1"/>
  <c r="F27" i="1"/>
  <c r="F13" i="1"/>
  <c r="F15" i="1"/>
  <c r="F14" i="1"/>
  <c r="F8" i="1"/>
</calcChain>
</file>

<file path=xl/sharedStrings.xml><?xml version="1.0" encoding="utf-8"?>
<sst xmlns="http://schemas.openxmlformats.org/spreadsheetml/2006/main" count="34" uniqueCount="34">
  <si>
    <t>SRR30543090</t>
  </si>
  <si>
    <t>SRR30543092</t>
  </si>
  <si>
    <t>SRR30543093</t>
  </si>
  <si>
    <t>SRR30543094</t>
  </si>
  <si>
    <t>SRR30543095</t>
  </si>
  <si>
    <t>SRR30543096</t>
  </si>
  <si>
    <t>SRR30543097</t>
  </si>
  <si>
    <t>SRR30543098</t>
  </si>
  <si>
    <t>SRR30543099</t>
  </si>
  <si>
    <t>SRR30543100</t>
  </si>
  <si>
    <t>SRR30543101</t>
  </si>
  <si>
    <t>SRR30543103</t>
  </si>
  <si>
    <t>SRR30543104</t>
  </si>
  <si>
    <t>SRR30543105</t>
  </si>
  <si>
    <t>SRR30543106</t>
  </si>
  <si>
    <t>SRR30543107</t>
  </si>
  <si>
    <t>SRR30543108</t>
  </si>
  <si>
    <t>SRR30543109</t>
  </si>
  <si>
    <t>SRR30543110</t>
  </si>
  <si>
    <t>SRR30543111</t>
  </si>
  <si>
    <t>SRR30543112</t>
  </si>
  <si>
    <t>SRR30543114</t>
  </si>
  <si>
    <t>SRR30543115</t>
  </si>
  <si>
    <t>SRR30543116</t>
  </si>
  <si>
    <t>SRR30543117</t>
  </si>
  <si>
    <t>SRR30543118</t>
  </si>
  <si>
    <t>Muestra</t>
  </si>
  <si>
    <t>Media</t>
  </si>
  <si>
    <t>Desviación estándar</t>
  </si>
  <si>
    <t>Lecturas humanas</t>
  </si>
  <si>
    <t>Lecturas microbianas</t>
  </si>
  <si>
    <t>Lecturas totales</t>
  </si>
  <si>
    <t>Lecturas humanas (%)</t>
  </si>
  <si>
    <t>Lecturas microbianas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</si>
</sst>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BD02-126B-4C45-94E9-0C33A8CF13AF}">
  <dimension ref="A1:G31"/>
  <sheetViews>
    <sheetView tabSelected="1" zoomScale="111" zoomScaleNormal="178" workbookViewId="0">
      <selection activeCell="C19" sqref="C19"/>
    </sheetView>
  </sheetViews>
  <sheetFormatPr baseColWidth="10" defaultRowHeight="16" x14ac:dyDescent="0.2"/>
  <cols>
    <col min="1" max="1" width="20.1640625" customWidth="1"/>
    <col min="2" max="2" width="16" customWidth="1"/>
    <col min="3" max="3" width="21.5" customWidth="1"/>
    <col min="4" max="4" width="23" customWidth="1"/>
    <col min="5" max="6" width="25.5" customWidth="1"/>
  </cols>
  <sheetData>
    <row r="1" spans="1:7" ht="28" customHeight="1" thickBot="1" x14ac:dyDescent="0.25">
      <c r="A1" s="1" t="s">
        <v>26</v>
      </c>
      <c r="B1" s="2" t="s">
        <v>31</v>
      </c>
      <c r="C1" s="2" t="s">
        <v>29</v>
      </c>
      <c r="D1" s="2" t="s">
        <v>30</v>
      </c>
      <c r="E1" s="2" t="s">
        <v>32</v>
      </c>
      <c r="F1" s="3" t="s">
        <v>33</v>
      </c>
      <c r="G1" s="4"/>
    </row>
    <row r="2" spans="1:7" x14ac:dyDescent="0.2">
      <c r="A2" s="4" t="s">
        <v>0</v>
      </c>
      <c r="B2" s="4">
        <v>59892246</v>
      </c>
      <c r="C2" s="5">
        <v>58570712</v>
      </c>
      <c r="D2" s="5">
        <f>B2-C2</f>
        <v>1321534</v>
      </c>
      <c r="E2" s="10">
        <f>C2/B2*100</f>
        <v>97.793480645224093</v>
      </c>
      <c r="F2" s="10">
        <f>100-E2</f>
        <v>2.2065193547759065</v>
      </c>
      <c r="G2" s="4"/>
    </row>
    <row r="3" spans="1:7" x14ac:dyDescent="0.2">
      <c r="A3" s="4" t="s">
        <v>1</v>
      </c>
      <c r="B3" s="4">
        <v>50276736</v>
      </c>
      <c r="C3" s="5">
        <v>48959766</v>
      </c>
      <c r="D3" s="5">
        <f t="shared" ref="D3:D26" si="0">B3-C3</f>
        <v>1316970</v>
      </c>
      <c r="E3" s="10">
        <f t="shared" ref="E3:E27" si="1">C3/B3*100</f>
        <v>97.380557878697616</v>
      </c>
      <c r="F3" s="10">
        <f t="shared" ref="F3:F27" si="2">100-E3</f>
        <v>2.6194421213023844</v>
      </c>
      <c r="G3" s="4"/>
    </row>
    <row r="4" spans="1:7" x14ac:dyDescent="0.2">
      <c r="A4" s="4" t="s">
        <v>2</v>
      </c>
      <c r="B4" s="4">
        <v>74034328</v>
      </c>
      <c r="C4" s="5">
        <v>72231116</v>
      </c>
      <c r="D4" s="5">
        <f t="shared" si="0"/>
        <v>1803212</v>
      </c>
      <c r="E4" s="10">
        <f t="shared" si="1"/>
        <v>97.564356902111683</v>
      </c>
      <c r="F4" s="10">
        <f t="shared" si="2"/>
        <v>2.4356430978883168</v>
      </c>
      <c r="G4" s="4"/>
    </row>
    <row r="5" spans="1:7" x14ac:dyDescent="0.2">
      <c r="A5" s="4" t="s">
        <v>3</v>
      </c>
      <c r="B5" s="4">
        <v>76045142</v>
      </c>
      <c r="C5" s="5">
        <v>73287028</v>
      </c>
      <c r="D5" s="5">
        <f t="shared" si="0"/>
        <v>2758114</v>
      </c>
      <c r="E5" s="10">
        <f t="shared" si="1"/>
        <v>96.373056940310533</v>
      </c>
      <c r="F5" s="10">
        <f t="shared" si="2"/>
        <v>3.6269430596894665</v>
      </c>
      <c r="G5" s="4"/>
    </row>
    <row r="6" spans="1:7" x14ac:dyDescent="0.2">
      <c r="A6" s="4" t="s">
        <v>4</v>
      </c>
      <c r="B6" s="4">
        <v>62878584</v>
      </c>
      <c r="C6" s="5">
        <v>61239734</v>
      </c>
      <c r="D6" s="5">
        <f t="shared" si="0"/>
        <v>1638850</v>
      </c>
      <c r="E6" s="10">
        <f t="shared" si="1"/>
        <v>97.393627693651624</v>
      </c>
      <c r="F6" s="10">
        <f t="shared" si="2"/>
        <v>2.6063723063483764</v>
      </c>
      <c r="G6" s="4"/>
    </row>
    <row r="7" spans="1:7" x14ac:dyDescent="0.2">
      <c r="A7" s="4" t="s">
        <v>5</v>
      </c>
      <c r="B7" s="4">
        <v>51320828</v>
      </c>
      <c r="C7" s="5">
        <v>48952090</v>
      </c>
      <c r="D7" s="5">
        <f t="shared" si="0"/>
        <v>2368738</v>
      </c>
      <c r="E7" s="10">
        <f t="shared" si="1"/>
        <v>95.384450928967865</v>
      </c>
      <c r="F7" s="10">
        <f t="shared" si="2"/>
        <v>4.6155490710321345</v>
      </c>
      <c r="G7" s="4"/>
    </row>
    <row r="8" spans="1:7" x14ac:dyDescent="0.2">
      <c r="A8" s="4" t="s">
        <v>6</v>
      </c>
      <c r="B8" s="4">
        <v>70490080</v>
      </c>
      <c r="C8" s="5">
        <v>68358092</v>
      </c>
      <c r="D8" s="5">
        <f t="shared" si="0"/>
        <v>2131988</v>
      </c>
      <c r="E8" s="10">
        <f t="shared" si="1"/>
        <v>96.975477967963712</v>
      </c>
      <c r="F8" s="10">
        <f t="shared" si="2"/>
        <v>3.0245220320362876</v>
      </c>
      <c r="G8" s="4"/>
    </row>
    <row r="9" spans="1:7" x14ac:dyDescent="0.2">
      <c r="A9" s="4" t="s">
        <v>7</v>
      </c>
      <c r="B9" s="4">
        <v>63311392</v>
      </c>
      <c r="C9" s="5">
        <v>61837742</v>
      </c>
      <c r="D9" s="5">
        <f t="shared" si="0"/>
        <v>1473650</v>
      </c>
      <c r="E9" s="10">
        <f t="shared" si="1"/>
        <v>97.672377824199472</v>
      </c>
      <c r="F9" s="10">
        <f t="shared" si="2"/>
        <v>2.3276221758005278</v>
      </c>
      <c r="G9" s="4"/>
    </row>
    <row r="10" spans="1:7" x14ac:dyDescent="0.2">
      <c r="A10" s="4" t="s">
        <v>8</v>
      </c>
      <c r="B10" s="4">
        <v>55693408</v>
      </c>
      <c r="C10" s="5">
        <v>53871958</v>
      </c>
      <c r="D10" s="5">
        <f t="shared" si="0"/>
        <v>1821450</v>
      </c>
      <c r="E10" s="10">
        <f t="shared" si="1"/>
        <v>96.729505222592948</v>
      </c>
      <c r="F10" s="10">
        <f t="shared" si="2"/>
        <v>3.2704947774070519</v>
      </c>
      <c r="G10" s="4"/>
    </row>
    <row r="11" spans="1:7" x14ac:dyDescent="0.2">
      <c r="A11" s="4" t="s">
        <v>9</v>
      </c>
      <c r="B11" s="4">
        <v>64353584</v>
      </c>
      <c r="C11" s="5">
        <v>62600188</v>
      </c>
      <c r="D11" s="5">
        <f t="shared" si="0"/>
        <v>1753396</v>
      </c>
      <c r="E11" s="10">
        <f t="shared" si="1"/>
        <v>97.275371640528988</v>
      </c>
      <c r="F11" s="10">
        <f t="shared" si="2"/>
        <v>2.7246283594710121</v>
      </c>
      <c r="G11" s="4"/>
    </row>
    <row r="12" spans="1:7" x14ac:dyDescent="0.2">
      <c r="A12" s="4" t="s">
        <v>10</v>
      </c>
      <c r="B12" s="4">
        <v>42821616</v>
      </c>
      <c r="C12" s="5">
        <v>41837834</v>
      </c>
      <c r="D12" s="5">
        <f t="shared" si="0"/>
        <v>983782</v>
      </c>
      <c r="E12" s="10">
        <f t="shared" si="1"/>
        <v>97.70260421745877</v>
      </c>
      <c r="F12" s="10">
        <f t="shared" si="2"/>
        <v>2.2973957825412299</v>
      </c>
      <c r="G12" s="4"/>
    </row>
    <row r="13" spans="1:7" x14ac:dyDescent="0.2">
      <c r="A13" s="4" t="s">
        <v>11</v>
      </c>
      <c r="B13" s="4">
        <v>73775450</v>
      </c>
      <c r="C13" s="5">
        <v>72793822</v>
      </c>
      <c r="D13" s="5">
        <f t="shared" si="0"/>
        <v>981628</v>
      </c>
      <c r="E13" s="10">
        <f t="shared" si="1"/>
        <v>98.669438139652144</v>
      </c>
      <c r="F13" s="10">
        <f t="shared" si="2"/>
        <v>1.3305618603478564</v>
      </c>
      <c r="G13" s="4"/>
    </row>
    <row r="14" spans="1:7" x14ac:dyDescent="0.2">
      <c r="A14" s="4" t="s">
        <v>12</v>
      </c>
      <c r="B14" s="4">
        <v>48524824</v>
      </c>
      <c r="C14" s="5">
        <v>46625034</v>
      </c>
      <c r="D14" s="5">
        <f t="shared" si="0"/>
        <v>1899790</v>
      </c>
      <c r="E14" s="10">
        <f t="shared" si="1"/>
        <v>96.084911096225724</v>
      </c>
      <c r="F14" s="10">
        <f t="shared" si="2"/>
        <v>3.9150889037742758</v>
      </c>
      <c r="G14" s="4"/>
    </row>
    <row r="15" spans="1:7" x14ac:dyDescent="0.2">
      <c r="A15" s="4" t="s">
        <v>13</v>
      </c>
      <c r="B15" s="4">
        <v>80463780</v>
      </c>
      <c r="C15" s="5">
        <v>77075884</v>
      </c>
      <c r="D15" s="5">
        <f t="shared" si="0"/>
        <v>3387896</v>
      </c>
      <c r="E15" s="10">
        <f t="shared" si="1"/>
        <v>95.789539094484496</v>
      </c>
      <c r="F15" s="10">
        <f t="shared" si="2"/>
        <v>4.2104609055155038</v>
      </c>
      <c r="G15" s="4"/>
    </row>
    <row r="16" spans="1:7" x14ac:dyDescent="0.2">
      <c r="A16" s="4" t="s">
        <v>14</v>
      </c>
      <c r="B16" s="4">
        <v>69265490</v>
      </c>
      <c r="C16" s="5">
        <v>68538648</v>
      </c>
      <c r="D16" s="5">
        <f t="shared" si="0"/>
        <v>726842</v>
      </c>
      <c r="E16" s="10">
        <f t="shared" si="1"/>
        <v>98.950643386771688</v>
      </c>
      <c r="F16" s="10">
        <f t="shared" si="2"/>
        <v>1.0493566132283121</v>
      </c>
      <c r="G16" s="4"/>
    </row>
    <row r="17" spans="1:7" x14ac:dyDescent="0.2">
      <c r="A17" s="4" t="s">
        <v>15</v>
      </c>
      <c r="B17" s="4">
        <v>69107594</v>
      </c>
      <c r="C17" s="5">
        <v>67199800</v>
      </c>
      <c r="D17" s="5">
        <f t="shared" si="0"/>
        <v>1907794</v>
      </c>
      <c r="E17" s="10">
        <f t="shared" si="1"/>
        <v>97.239385877042679</v>
      </c>
      <c r="F17" s="10">
        <f t="shared" si="2"/>
        <v>2.7606141229573211</v>
      </c>
      <c r="G17" s="4"/>
    </row>
    <row r="18" spans="1:7" x14ac:dyDescent="0.2">
      <c r="A18" s="4" t="s">
        <v>16</v>
      </c>
      <c r="B18" s="4">
        <v>78894466</v>
      </c>
      <c r="C18" s="5">
        <v>77824378</v>
      </c>
      <c r="D18" s="5">
        <f t="shared" si="0"/>
        <v>1070088</v>
      </c>
      <c r="E18" s="10">
        <f t="shared" si="1"/>
        <v>98.643646311009945</v>
      </c>
      <c r="F18" s="10">
        <f t="shared" si="2"/>
        <v>1.3563536889900547</v>
      </c>
      <c r="G18" s="4"/>
    </row>
    <row r="19" spans="1:7" x14ac:dyDescent="0.2">
      <c r="A19" s="4" t="s">
        <v>17</v>
      </c>
      <c r="B19" s="4">
        <v>58979972</v>
      </c>
      <c r="C19" s="5">
        <v>57549132</v>
      </c>
      <c r="D19" s="5">
        <f t="shared" si="0"/>
        <v>1430840</v>
      </c>
      <c r="E19" s="10">
        <f t="shared" si="1"/>
        <v>97.574023941550863</v>
      </c>
      <c r="F19" s="10">
        <f t="shared" si="2"/>
        <v>2.4259760584491374</v>
      </c>
      <c r="G19" s="4"/>
    </row>
    <row r="20" spans="1:7" x14ac:dyDescent="0.2">
      <c r="A20" s="4" t="s">
        <v>18</v>
      </c>
      <c r="B20" s="4">
        <v>56215340</v>
      </c>
      <c r="C20" s="5">
        <v>53647152</v>
      </c>
      <c r="D20" s="5">
        <f t="shared" si="0"/>
        <v>2568188</v>
      </c>
      <c r="E20" s="10">
        <f t="shared" si="1"/>
        <v>95.431517447017129</v>
      </c>
      <c r="F20" s="10">
        <f t="shared" si="2"/>
        <v>4.5684825529828714</v>
      </c>
      <c r="G20" s="4"/>
    </row>
    <row r="21" spans="1:7" x14ac:dyDescent="0.2">
      <c r="A21" s="4" t="s">
        <v>19</v>
      </c>
      <c r="B21" s="4">
        <v>70106202</v>
      </c>
      <c r="C21" s="5">
        <v>67990118</v>
      </c>
      <c r="D21" s="5">
        <f t="shared" si="0"/>
        <v>2116084</v>
      </c>
      <c r="E21" s="10">
        <f t="shared" si="1"/>
        <v>96.981602283917766</v>
      </c>
      <c r="F21" s="10">
        <f t="shared" si="2"/>
        <v>3.0183977160822337</v>
      </c>
      <c r="G21" s="4"/>
    </row>
    <row r="22" spans="1:7" x14ac:dyDescent="0.2">
      <c r="A22" s="4" t="s">
        <v>20</v>
      </c>
      <c r="B22" s="4">
        <v>41302748</v>
      </c>
      <c r="C22" s="5">
        <v>40706114</v>
      </c>
      <c r="D22" s="5">
        <f t="shared" si="0"/>
        <v>596634</v>
      </c>
      <c r="E22" s="10">
        <f t="shared" si="1"/>
        <v>98.555461733442058</v>
      </c>
      <c r="F22" s="10">
        <f t="shared" si="2"/>
        <v>1.4445382665579416</v>
      </c>
      <c r="G22" s="4"/>
    </row>
    <row r="23" spans="1:7" x14ac:dyDescent="0.2">
      <c r="A23" s="4" t="s">
        <v>21</v>
      </c>
      <c r="B23" s="4">
        <v>58036976</v>
      </c>
      <c r="C23" s="5">
        <v>56812912</v>
      </c>
      <c r="D23" s="5">
        <f t="shared" si="0"/>
        <v>1224064</v>
      </c>
      <c r="E23" s="10">
        <f t="shared" si="1"/>
        <v>97.890889421943697</v>
      </c>
      <c r="F23" s="10">
        <f t="shared" si="2"/>
        <v>2.1091105780563026</v>
      </c>
      <c r="G23" s="4"/>
    </row>
    <row r="24" spans="1:7" x14ac:dyDescent="0.2">
      <c r="A24" s="4" t="s">
        <v>22</v>
      </c>
      <c r="B24" s="4">
        <v>62490922</v>
      </c>
      <c r="C24" s="5">
        <v>61180532</v>
      </c>
      <c r="D24" s="5">
        <f t="shared" si="0"/>
        <v>1310390</v>
      </c>
      <c r="E24" s="10">
        <f t="shared" si="1"/>
        <v>97.903071425318387</v>
      </c>
      <c r="F24" s="10">
        <f t="shared" si="2"/>
        <v>2.0969285746816126</v>
      </c>
      <c r="G24" s="4"/>
    </row>
    <row r="25" spans="1:7" x14ac:dyDescent="0.2">
      <c r="A25" s="4" t="s">
        <v>23</v>
      </c>
      <c r="B25" s="4">
        <v>62982450</v>
      </c>
      <c r="C25" s="5">
        <v>60757630</v>
      </c>
      <c r="D25" s="5">
        <f t="shared" si="0"/>
        <v>2224820</v>
      </c>
      <c r="E25" s="10">
        <f t="shared" si="1"/>
        <v>96.467555644469215</v>
      </c>
      <c r="F25" s="10">
        <f t="shared" si="2"/>
        <v>3.5324443555307852</v>
      </c>
      <c r="G25" s="4"/>
    </row>
    <row r="26" spans="1:7" x14ac:dyDescent="0.2">
      <c r="A26" s="4" t="s">
        <v>24</v>
      </c>
      <c r="B26" s="4">
        <v>54144796</v>
      </c>
      <c r="C26" s="5">
        <v>46306312</v>
      </c>
      <c r="D26" s="5">
        <f t="shared" si="0"/>
        <v>7838484</v>
      </c>
      <c r="E26" s="10">
        <f t="shared" si="1"/>
        <v>85.52310733611408</v>
      </c>
      <c r="F26" s="10">
        <f t="shared" si="2"/>
        <v>14.47689266388592</v>
      </c>
      <c r="G26" s="4"/>
    </row>
    <row r="27" spans="1:7" x14ac:dyDescent="0.2">
      <c r="A27" s="4" t="s">
        <v>25</v>
      </c>
      <c r="B27" s="4">
        <v>62980694</v>
      </c>
      <c r="C27" s="5">
        <v>61791120</v>
      </c>
      <c r="D27" s="5">
        <f>B27-C27</f>
        <v>1189574</v>
      </c>
      <c r="E27" s="10">
        <f t="shared" si="1"/>
        <v>98.111208491922937</v>
      </c>
      <c r="F27" s="10">
        <f t="shared" si="2"/>
        <v>1.8887915080770625</v>
      </c>
      <c r="G27" s="4"/>
    </row>
    <row r="28" spans="1:7" ht="17" thickBot="1" x14ac:dyDescent="0.25">
      <c r="A28" s="4"/>
      <c r="B28" s="4"/>
      <c r="C28" s="4"/>
      <c r="D28" s="4"/>
      <c r="E28" s="6"/>
      <c r="F28" s="6"/>
      <c r="G28" s="5"/>
    </row>
    <row r="29" spans="1:7" ht="17" thickBot="1" x14ac:dyDescent="0.25">
      <c r="E29" s="8" t="s">
        <v>27</v>
      </c>
      <c r="F29" s="9" t="s">
        <v>28</v>
      </c>
    </row>
    <row r="30" spans="1:7" x14ac:dyDescent="0.2">
      <c r="E30" s="10">
        <f>AVERAGE(E2:E27)</f>
        <v>96.848494980484233</v>
      </c>
      <c r="F30" s="10">
        <f>STDEV(E2:E27)</f>
        <v>2.501671466652728</v>
      </c>
    </row>
    <row r="31" spans="1:7" x14ac:dyDescent="0.2">
      <c r="E31" s="7"/>
      <c r="F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Celada Bustillos</dc:creator>
  <cp:lastModifiedBy>Laura Celada Bustillos</cp:lastModifiedBy>
  <dcterms:created xsi:type="dcterms:W3CDTF">2026-03-07T12:26:33Z</dcterms:created>
  <dcterms:modified xsi:type="dcterms:W3CDTF">2026-05-11T06:10:40Z</dcterms:modified>
</cp:coreProperties>
</file>